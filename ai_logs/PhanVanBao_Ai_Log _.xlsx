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github\NHOM_04_LAB211_TicketBooking\ai_logs\"/>
    </mc:Choice>
  </mc:AlternateContent>
  <xr:revisionPtr revIDLastSave="0" documentId="13_ncr:1_{2F1800DA-DDDA-4D04-B278-09731D14E492}" xr6:coauthVersionLast="47" xr6:coauthVersionMax="47" xr10:uidLastSave="{00000000-0000-0000-0000-000000000000}"/>
  <bookViews>
    <workbookView xWindow="-108" yWindow="-108" windowWidth="23256" windowHeight="12456"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<sst xmlns="http://schemas.openxmlformats.org/spreadsheetml/2006/main" count="314" uniqueCount="262">
  <si>
    <t>AI AUDIT LOG - METADATA &amp; SUMMARY</t>
  </si>
  <si>
    <t>STUDENT INFORMATION</t>
  </si>
  <si>
    <t>Student Name:</t>
  </si>
  <si>
    <t>Student ID:</t>
  </si>
  <si>
    <t>Course:</t>
  </si>
  <si>
    <t>[LAB211]</t>
  </si>
  <si>
    <t>Assignment:</t>
  </si>
  <si>
    <t>[TicketBooking]</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</si>
  <si>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</si>
  <si>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</si>
  <si>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</si>
  <si>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</si>
  <si>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</si>
  <si>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</si>
  <si>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</si>
  <si>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</si>
  <si>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</si>
  <si>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</si>
  <si>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</si>
  <si>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</si>
  <si>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</si>
  <si>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</si>
  <si>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</si>
  <si>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</si>
  <si>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</si>
  <si>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</si>
  <si>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</si>
  <si>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</si>
  <si>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</si>
  <si>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</si>
  <si>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</si>
  <si>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</si>
  <si>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</si>
  <si>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</si>
  <si>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</si>
  <si>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</si>
  <si>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</si>
  <si>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</si>
  <si>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</si>
  <si>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</si>
  <si>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</si>
  <si>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</si>
  <si>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</si>
  <si>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</si>
  <si>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</si>
  <si>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</si>
  <si>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</si>
  <si>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</si>
  <si>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</si>
  <si>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</si>
  <si>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</si>
  <si>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</si>
  <si>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</si>
  <si>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</si>
  <si>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</si>
  <si>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Xây dựng tính năng tìm kiếm một chiếc ghế cụ thể theo mã ID (seatId) một cách tối ưu ở tầng Service/Repository khi dữ liệu lớn đã được nạp lên RAM.</t>
  </si>
  <si>
    <t>"Hãy viết cho tôi hàm tìm kiếm một chiếc ghế theo ID từ danh sách 5000 ghế trên RAM."</t>
  </si>
  <si>
    <t>AI cung cấp một hàm sử dụng vòng lặp duyệt tuần tự (Linear Search) chạy từ đầu đến cuối danh sách List để so sánh ID từng ghế.</t>
  </si>
  <si>
    <t>Critical Thinking: Phát hiện duyệt tuần tự bằng vòng lặp qua một ArrayList cực kỳ kém tối ưu đối với các thao tác tìm kiếm được gọi lặp đi lặp lại nhiều lần, có độ phức tạp thuật toán là $O(N)$. Nếu hệ thống có nhiều lượt truy cập tra cứu ghế cùng lúc sẽ bị trễ.Contextualization: Đồ án rạp phim đòi hỏi thao tác khách hàng click chọn ghế hoặc tra cứu thông tin trạng thái ghế phải phản hồi ngay lập tức.Creative Synthesis: Chuyển đổi cấu trúc lưu trữ từ dạng danh sách phẳng sang cấu trúc ánh xạ để tận dụng cơ chế băm dữ liệu.Decision: Tự tối ưu lại bằng cách lưu trữ danh sách ghế vào một cấu trúc HashMap&lt;Integer, Seat&gt; ngay khi đọc file CSV lên RAM. Khi cần tìm kiếm, chỉ cần gọi hàm map.get(id) đạt độ phức tạp tuyệt đối $O(1)$ - tra cứu tức thì không độ trễ.</t>
  </si>
  <si>
    <t>Ảnh chụp màn hình Code hàm tìm kiếm tối ưu</t>
  </si>
  <si>
    <t>Thực hiện sắp xếp (Sort) lại danh sách ghế đang bị lộn xộn theo thứ tự tăng dần của mã ID trước khi hiển thị lên giao diện Terminal hoặc xuất báo cáo.</t>
  </si>
  <si>
    <t>"Làm sao để sắp xếp danh sách ghế lộn xộn trong List theo thứ tự ID tăng dần?"</t>
  </si>
  <si>
    <t>AI tự viết một đoạn code thủ công dài dòng sử dụng thuật toán sắp xếp nổi bọt (Bubble Sort) với 2 vòng lặp lồng nhau để hoán đổi vị trí các phần tử ghế.</t>
  </si>
  <si>
    <t>Critical Thinking: Nhận ra AI đang mắc lỗi đơn giản hóa quá mức (Oversimplification). Thuật toán Bubble Sort có hiệu năng rất tệ $O(N^2)$, hoàn toàn lỗi thời và lãng phí tài nguyên CPU khi xử lý tập dữ liệu lớn, trong khi Java đã tích hợp sẵn các bộ thư viện cực mạnh.Contextualization: Yêu cầu mã nguồn đồ án phải đạt tiêu chuẩn chuyên nghiệp, tinh gọn và tận dụng tối đa sức mạnh API sẵn có của Java Collection Framework.Creative Synthesis: Sử dụng bộ so sánh Comparator kết hợp với biểu thức Lambda để thay thế hoàn toàn các vòng lặp hoán đổi vị trí thủ công.Decision: Bác bỏ hoàn toàn đoạn code sắp xếp thủ công của AI. Thay thế bằng giải pháp chuẩn công nghiệp: sử dụng phương thức Collections.sort() kết hợp với bộ so sánh Comparator.comparingInt(Seat::getSeatId), đạt hiệu năng vượt trội $O(N \log N)$.</t>
  </si>
  <si>
    <t>Ảnh chụp màn hình Git Diff mã nguồn sắp xếp</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</si>
  <si>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</si>
  <si>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</si>
  <si>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</si>
  <si>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</si>
  <si>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</si>
  <si>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</si>
  <si>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</si>
  <si>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</si>
  <si>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</si>
  <si>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Logic Error</t>
  </si>
  <si>
    <t>Oversimplification</t>
  </si>
  <si>
    <t>HALLUCINATION TYPES REFERENCE:</t>
  </si>
  <si>
    <t>Type</t>
  </si>
  <si>
    <t>Definition</t>
  </si>
  <si>
    <t>Example</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</si>
  <si>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</si>
  <si>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</si>
  <si>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</si>
  <si>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</si>
  <si>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</si>
  <si>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</si>
  <si>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</si>
  <si>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</si>
  <si>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</si>
  <si>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</si>
  <si>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</si>
  <si>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</si>
  <si>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</si>
  <si>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</si>
  <si>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</si>
  <si>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</si>
  <si>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</si>
  <si>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</si>
  <si>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</si>
  <si>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</si>
  <si>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</si>
  <si>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</si>
  <si>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</si>
  <si>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</si>
  <si>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</si>
  <si>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</si>
  <si>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</si>
  <si>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</si>
  <si>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</si>
  <si>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</si>
  <si>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</si>
  <si>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</si>
  <si>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</si>
  <si>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</si>
  <si>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</si>
  <si>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</si>
  <si>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</si>
  <si>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</si>
  <si>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</si>
  <si>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</si>
  <si>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</si>
  <si>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</si>
  <si>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</si>
  <si>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</si>
  <si>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</si>
  <si>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Phan Văn Bảo</t>
  </si>
  <si>
    <t>[QE200113]</t>
  </si>
  <si>
    <t>Antygravity</t>
  </si>
  <si>
    <t>writecode</t>
  </si>
  <si>
    <t xml:space="preserve">high </t>
  </si>
  <si>
    <t>Cần chia nhỏ luồng đặt vé thành các bước rõ ràng</t>
  </si>
  <si>
    <t>“Hãy phân tích flow đặt vé từ lúc fan chọn ghế đến khi ghi vào file CSV”</t>
  </si>
  <si>
    <t>AI gợi ý 6 bước: chọn ghế, kiểm tra trạng thái, lock ghế, tạo vé, ghi transaction, confirm</t>
  </si>
  <si>
    <t>Critical Thinking: 6 bước hợp lý nhưng hơi chi tiết. Contextualization: Với scope lab, chỉ cần 4 bước chính. Creative Synthesis: Gộp thành: chọn ghế → lock → ghi vé → ghi transaction. Decision: Giữ 4 bước để flowchart đơn giản.</t>
  </si>
  <si>
    <t>Flowchart Booking Flow (draw.io)</t>
  </si>
  <si>
    <t>Cần tạo lại toàn bộ file CSV với dữ liệu thực tế</t>
  </si>
  <si>
    <t>“Đó nãy giờ tôi đã nói rồi hãy tạo code full để tạo lại file csv”</t>
  </si>
  <si>
    <t>AI viết lại DataGenerator.java đầy đủ, có tên tiếng Việt, capacity, tickets với ngày và loại vé, transactions không status.</t>
  </si>
  <si>
    <t>Critical Thinking: Kiểm tra logic sinh dữ liệu. Contextualization: Đảm bảo mỗi file khớp với nhau. Creative Synthesis: Chạy thử, kiểm tra số dòng và quan hệ giữa các file. Decision: Giữ code này làm bản chính thức để nộp lab.</t>
  </si>
  <si>
    <t>Full code DataGenerator.java + ảnh terminal “✅ Đã tạo dữ liệu CSV đầy đủ!”.</t>
  </si>
  <si>
    <t>Simulator chạy 100 threads vẫn bị double booking</t>
  </si>
  <si>
    <t>“Làm sao để ngăn double booking khi chạy 100 threads?”</t>
  </si>
  <si>
    <t>AI gợi ý dùng synchronized block</t>
  </si>
  <si>
    <t>Critical Thinking: synchronized chưa đủ khi nhiều file CSV. Contextualization: Phải đảm bảo atomic write. Creative Synthesis: Thử FileLock và Optimistic Locking. Decision: Chọn FileLock cho seats.csv.</t>
  </si>
  <si>
    <t>Code snippet FileLock + kết quả test</t>
  </si>
  <si>
    <t>Số lượng vé và số lượng ghế chưa khớp với thực tế</t>
  </si>
  <si>
    <t>“Thứ nhất là số lượng vé và số lượng ghế chưa có thực tế”</t>
  </si>
  <si>
    <t>AI giải thích cách sinh seats theo capacity của sân, tickets = seats × matches để đảm bảo dữ liệu khớp.</t>
  </si>
  <si>
    <t>Critical Thinking: Nhận ra dữ liệu cũ không logic, vé nhiều hơn ghế. Contextualization: Phải dựa vào capacity của stadium. Creative Synthesis: Chỉnh code sinh seats và tickets theo capacity. Decision: Giữ dữ liệu thực tế để tránh lỗi double booking.</t>
  </si>
  <si>
    <t>Code snippet seats/tickets + ảnh CSV sau khi chạy.</t>
  </si>
  <si>
    <t>Vé thiếu ngày tháng và giao dịch dư cột status</t>
  </si>
  <si>
    <t>“Thứ 2 là cái phần vé thiếu ngày tháng và cái phần giao dịch không cần phần status”</t>
  </si>
  <si>
    <t>AI hướng dẫn thêm cột date vào tickets.csv để gắn ngày trận đấu, và bỏ cột status trong transactions.csv.</t>
  </si>
  <si>
    <t>Critical Thinking: Nhận ra schema chưa phản ánh thực tế. Contextualization: Vé phải có ngày, giao dịch không cần trạng thái. Creative Synthesis: Sửa code DataGenerator để thêm date, bỏ status. Decision: Giữ schema đơn giản, đúng nghiệp vụ.</t>
  </si>
  <si>
    <t>Code snippet tickets/transactions + ảnh file CSV.</t>
  </si>
  <si>
    <t>Cần phân biệt vé VIP và vé thường dựa vào khu vực</t>
  </si>
  <si>
    <t>“Thứ 3 tôi muốn có 2 loại vé là vé thường và vé vip và hãy làm thế nào để dựa vào các file csv mà có thể xác định được khu nào khu vip”</t>
  </si>
  <si>
    <t>AI hướng dẫn xác định khu VIP từ sections.csv, thêm cột ticketType vào tickets.csv, và tính giá vé khác nhau cho VIP/NORMAL.</t>
  </si>
  <si>
    <t>Critical Thinking: Nhận ra cần phân loại vé theo khu vực để phản ánh giá trị thực. Contextualization: Dữ liệu sections.csv có thể dùng để xác định VIP. Creative Synthesis: Thêm ticketType và tính giá theo loại vé. Decision: Áp dụng logic này vào DataGenerator để sinh dữ liệu thực tế.</t>
  </si>
  <si>
    <t>Code snippet ticketType + transactions + ảnh CSV.</t>
  </si>
  <si>
    <t>SCHEMA EXTENSION</t>
  </si>
  <si>
    <t>Schema Extension</t>
  </si>
  <si>
    <t>StadiumId</t>
  </si>
  <si>
    <t>“Có thấy stadiumId không?”</t>
  </si>
  <si>
    <t>AI giải thích hiện chưa có stadiumId, gợi ý thêm vào Ticket.java và CSV.</t>
  </si>
  <si>
    <t>Critical Thinking: Nhận ra cần mở rộng schema để quản lý vé theo sân. Decision: Thêm stadiumId vào Ticket.java và cập nhật CSV.</t>
  </si>
  <si>
    <t>Code Ticket.java (bản mở rộng)</t>
  </si>
  <si>
    <t>UNIT TESTING</t>
  </si>
  <si>
    <t>Validation</t>
  </si>
  <si>
    <t>Kiểm tra dữ liệu CSV</t>
  </si>
  <si>
    <t>“Phân tích từng dòng code TicketCsvTest.”</t>
  </si>
  <si>
    <t>AI phân tích chi tiết từng dòng: đọc file, bỏ qua header, kiểm tra số cột, ô trống.</t>
  </si>
  <si>
    <t>Critical Thinking: Xác nhận test này dùng để validate dữ liệu, không phải nghiệp vụ. Decision: Giữ test để đảm bảo file CSV sạch.</t>
  </si>
  <si>
    <t>Code TicketCsvTest + output console</t>
  </si>
  <si>
    <t>CRUD Testing</t>
  </si>
  <si>
    <t>Test thêm/xóa vé</t>
  </si>
  <si>
    <t>“Phân tích testAddTicket và testRemoveTicket.”</t>
  </si>
  <si>
    <t>AI giải thích cách thêm vé mới, kiểm tra tồn tại, sau đó xóa và xác nhận không còn.</t>
  </si>
  <si>
    <t>Critical Thinking: Kiểm tra logic CRUD hoạt động đúng. Decision: Giữ test để xác nhận repository cập nhật file CSV.</t>
  </si>
  <si>
    <t>Code TicketRepositoryTest + log console</t>
  </si>
  <si>
    <t>Giữ test để đảm bảo dữ liệu sạch trước khi load</t>
  </si>
  <si>
    <t>Đọc lại code TicketCsvTest</t>
  </si>
  <si>
    <t>Thực tế còn kiểm tra ô trống và logic dữ liệu</t>
  </si>
  <si>
    <t>AI nói test CSV chỉ kiểm tra số cột</t>
  </si>
  <si>
    <t>Giữ version field, chứng minh bằng simulator</t>
  </si>
  <si>
    <t>Tìm Google Scholar</t>
  </si>
  <si>
    <t>Không có paper nào</t>
  </si>
  <si>
    <t>AI nói có nghiên cứu về CSV Optimistic Locking</t>
  </si>
  <si>
    <t>Tự kiểm chứng bằng simulator, giữ version field như giải pháp thực nghiệm</t>
  </si>
  <si>
    <t>Tìm trên Google Scholar</t>
  </si>
  <si>
    <t>Không tìm thấy paper nào về CSV Optimistic Locking</t>
  </si>
  <si>
    <t>AI khẳng định Optimistic Locking cho CSV đã có nghiên cứu chính thức</t>
  </si>
  <si>
    <t>Thêm cơ chế FileLock để đảm bảo atomic write</t>
  </si>
  <si>
    <t>Chạy simulator 100 threads</t>
  </si>
  <si>
    <t>Thực tế vẫn xảy ra double booking với 100 threads</t>
  </si>
  <si>
    <t>AI nói synchronized block đủ để ngăn double booking</t>
  </si>
  <si>
    <t>Dùng ExecutorService.shutdown() thay thế</t>
  </si>
  <si>
    <t>Đọc tài liệu JavaDoc chính thức</t>
  </si>
  <si>
    <t>Phương thức này deprecated từ Java 8</t>
  </si>
  <si>
    <t>AI gợi ý dùng Thread.stop() để dừng simulator</t>
  </si>
  <si>
    <t>Bổ sung logic giá vé theo loại khu vực</t>
  </si>
  <si>
    <t>Kiểm tra dữ liệu sections.csv và yêu cầu business</t>
  </si>
  <si>
    <t>Thực tế còn phải mapping từ sections.csv và tín h giá vé khác nhau</t>
  </si>
  <si>
    <t>AI nói chỉ cần ticketType = VIP/NORMAL là đủ</t>
  </si>
  <si>
    <t>Bỏ cột status, giữ schema đơn giản</t>
  </si>
  <si>
    <t>Đọc lại yêu cầu nghiệp vụ trong đề tài</t>
  </si>
  <si>
    <t>Thực tế không cần status vì giao dịch chỉ ghi thông tin vé</t>
  </si>
  <si>
    <t>AI giữ cột status trong transactions.csv</t>
  </si>
  <si>
    <t>Sửa DataGenerator để sinh tickets theo capacity stadium</t>
  </si>
  <si>
    <t>Kiểm tra capacity stadium và logic nghiệp vụ</t>
  </si>
  <si>
    <t>Thực tế vé phải ≤ seats × matches</t>
  </si>
  <si>
    <t>AI nói số lượng vé có thể nhiều hơn số lượng ghế</t>
  </si>
  <si>
    <t>Cần xác định xem hàm login() có xử lý đúng các trường hợp sai định dạng email và sai mật khẩu không.</t>
  </si>
  <si>
    <t>“Phân tích logic kiểm tra email và password trong hàm login(), chỉ ra điểm mạnh và điểm cần cải thiện.”</t>
  </si>
  <si>
    <t>AI mô tả rõ: kiểm tra null, regex email, loại trừ admin/staff, duyệt danh sách fan, xác thực password. Gợi ý thêm kiểm tra trim password và log lỗi chi tiết.</t>
  </si>
  <si>
    <t>Critical Thinking: Logic hợp lý, nhưng có thể thêm kiểm tra trim password. Contextualization: Với hệ thống nhỏ, không cần mã hóa password. Creative Synthesis: Giữ nguyên logic, thêm comment hướng dẫn mở rộng bảo mật. Decision: Không chỉnh code, chỉ bổ sung hướng dẫn.</t>
  </si>
  <si>
    <t>Logic hợp lý, nhưng có thể thêm kiểm tra trim password. Không cần mã hóa trong hệ thống nhỏ.</t>
  </si>
  <si>
    <t>Data Retrieval</t>
  </si>
  <si>
    <t>Đảm bảo hàm getMyTickets() bỏ qua giao dịch CANCELLED</t>
  </si>
  <si>
    <t>“Kiểm tra luồng lấy vé trong getMyTickets()”</t>
  </si>
  <si>
    <t>AI xác nhận: duyệt transaction theo fanId, bỏ qua CANCELLED, lấy ticket theo ticketId, thêm vào danh sách nếu tồn tại</t>
  </si>
  <si>
    <t>Khi giao dịch CANCELLED, không có vé nào được thêm vào myTickets</t>
  </si>
  <si>
    <t>Logic đúng, nhưng nên thêm log cảnh báo khi vé null để dễ debug.</t>
  </si>
  <si>
    <t>Update Flow</t>
  </si>
  <si>
    <t>Xác nhận hàm updateProfile() xử lý đúng khi fan không tồn tại</t>
  </si>
  <si>
    <t>“Phân tích hàm updateProfile()”</t>
  </si>
  <si>
    <t>AI mô tả: tìm fan theo ID, nếu null → báo lỗi, nếu có → cập nhật và in thông báo thành công</t>
  </si>
  <si>
    <t>Log hiển thị [ERROR] Fan not found. khi ID không tồn tại</t>
  </si>
  <si>
    <t>Logic đúng, nhưng nên validate dữ liệu đầu vào trước khi update để tránh lỗi.</t>
  </si>
  <si>
    <t>Input Flow</t>
  </si>
  <si>
    <t>Cần xác nhận quy trình loginFlow() có đảm bảo người dùng nhập đúng email và password trước khi đăng nhập thành công</t>
  </si>
  <si>
    <t>“Phân tích luồng loginFlow(), mô tả cách xử lý khi nhập sai và khi nhập đúng.”</t>
  </si>
  <si>
    <t>AI mô tả: vòng lặp yêu cầu nhập email và password, gọi hàm login(), nếu sai thì in [INFO] Please correct the above errors and try again., nếu đúng thì trả về đối tượng Fan.</t>
  </si>
  <si>
    <t>Khi nhập sai, console hiển thị [ERROR] Invalid email or password. và [INFO] Please correct the above errors and try again.; khi nhập đúng, hiển thị [OK] Welcome back, &lt;Tên Fan&gt;!.</t>
  </si>
  <si>
    <t>Critical Thinking: Luồng hợp lý, nhưng có thể thêm giới hạn số lần thử để tránh vòng lặp vô hạn. Contextualization: Với hệ thống nhỏ, vòng lặp vô hạn không gây hại, nhưng thực tế cần timeout. Creative Synthesis: Giữ nguyên logic, thêm gợi ý giới hạn số lần nhập. Decision: Bổ sung comment hướng dẫn cải thiện bảo mật.</t>
  </si>
  <si>
    <t>ID Generation</t>
  </si>
  <si>
    <t>Cần xác nhận hàm generateNextFanId() có tạo ID mới đúng quy tắc</t>
  </si>
  <si>
    <t>“Phân tích hàm generateNextFanId(), mô tả cách lấy số lớn nhất và tạo ID mới.”</t>
  </si>
  <si>
    <t>AI mô tả: duyệt danh sách fan, lấy phần số trong ID, tìm số lớn nhất, cộng thêm 1, tạo ID mới dạng FAN+num.</t>
  </si>
  <si>
    <t>Khi danh sách có FAN1, FAN2, FAN5 → hàm trả về FAN6.</t>
  </si>
  <si>
    <t>Critical Thinking: Logic đúng, nhưng nếu danh sách rỗng thì mặc định trả về FAN1. Contextualization: Với hệ thống hiện tại, đây là cách hợp lý. Creative Synthesis: Có thể thêm kiểm tra danh sách rỗng để rõ ràng hơn. Decision: Giữ nguyên, thêm comment hướng dẫn.</t>
  </si>
  <si>
    <t>Data Access</t>
  </si>
  <si>
    <t>Cần xác nhận hàm findById() và getAllFans() hoạt động đúng</t>
  </si>
  <si>
    <t>“Phân tích các hàm helper findById() và getAllFans().”</t>
  </si>
  <si>
    <t>AI mô tả: findById() gọi fanRepo.findById(fanId) để trả về fan theo ID; getAllFans() gọi fanRepo.getAllFans() để trả về toàn bộ danh sách.</t>
  </si>
  <si>
    <t>Critical Thinking: Logic đơn giản, đúng chức năng. Contextualization: Đây là các hàm wrapper, phụ thuộc vào repo. Creative Synthesis: Có thể thêm log khi không tìm thấy fan. Decision: Giữ nguyên, thêm log cảnh báo để dễ debug.</t>
  </si>
  <si>
    <t>Khi gọi findById("FAN3") → trả về đối tượng Fan có ID FAN3; khi gọi getAllFans() → trả về danh sách tất cả Fan.</t>
  </si>
  <si>
    <t>Minor factual error</t>
  </si>
  <si>
    <t>AI nói rằng hàm login() có mã hóa mật khẩu.</t>
  </si>
  <si>
    <t>Thực tế code không có bước mã hóa, chỉ so sánh chuỗi password trực tiếp.</t>
  </si>
  <si>
    <t>Đối chiếu lại code thực tế trong lớp FanService.</t>
  </si>
  <si>
    <t>Ghi chú lại trong log: “Không có mã hóa, chỉ so sánh chuỗi.” Thêm comment hướng dẫn mở rộng bảo mật.</t>
  </si>
  <si>
    <t>Overgeneralization</t>
  </si>
  <si>
    <t>Misinterpretation</t>
  </si>
  <si>
    <t>AI khẳng định getMyTickets() luôn trả về vé hợp lệ.</t>
  </si>
  <si>
    <t>AI nói updateProfile() có validate dữ liệu đầu vào.</t>
  </si>
  <si>
    <t>Thực tế nếu ticketRepo.findById() trả về null thì vẫn thêm vào danh sách.</t>
  </si>
  <si>
    <t>Code thực tế chỉ kiểm tra tồn tại fan, không validate các field.</t>
  </si>
  <si>
    <t>Kiểm tra logic thực tế và chạy thử với giao dịch không có vé.</t>
  </si>
  <si>
    <t>So sánh code với mô tả AI.</t>
  </si>
  <si>
    <t>Thêm điều kiện if (t != null) để tránh thêm vé null.</t>
  </si>
  <si>
    <t>Thêm bước kiểm tra null cho các field trước khi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</si>
</sst>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31">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7" workbookViewId="0">
      <selection activeCell="A18" sqref="A18"/>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8" t="s">
        <v>0</v>
      </c>
      <c r="B1" s="19"/>
      <c r="C1" s="19"/>
      <c r="D1" s="19"/>
      <c r="E1" s="19"/>
      <c r="F1" s="19"/>
    </row>
    <row r="3" spans="1:6" ht="18" x14ac:dyDescent="0.35">
      <c r="A3" s="1" t="s">
        <v>1</v>
      </c>
    </row>
    <row r="4" spans="1:6" x14ac:dyDescent="0.3">
      <c r="A4" s="2" t="s">
        <v>2</v>
      </c>
      <c r="C4" t="s">
        <v>125</v>
      </c>
    </row>
    <row r="5" spans="1:6" x14ac:dyDescent="0.3">
      <c r="A5" s="2" t="s">
        <v>3</v>
      </c>
      <c r="C5" t="s">
        <v>126</v>
      </c>
    </row>
    <row r="6" spans="1:6" x14ac:dyDescent="0.3">
      <c r="A6" s="2" t="s">
        <v>4</v>
      </c>
      <c r="C6" t="s">
        <v>5</v>
      </c>
    </row>
    <row r="7" spans="1:6" x14ac:dyDescent="0.3">
      <c r="A7" s="2" t="s">
        <v>6</v>
      </c>
      <c r="C7" t="s">
        <v>7</v>
      </c>
    </row>
    <row r="9" spans="1:6" ht="18" x14ac:dyDescent="0.35">
      <c r="A9" s="1" t="s">
        <v>8</v>
      </c>
    </row>
    <row r="10" spans="1:6" x14ac:dyDescent="0.3">
      <c r="A10" s="2" t="s">
        <v>9</v>
      </c>
      <c r="C10">
        <v>140</v>
      </c>
    </row>
    <row r="11" spans="1:6" x14ac:dyDescent="0.3">
      <c r="A11" s="2" t="s">
        <v>10</v>
      </c>
      <c r="C11" s="3">
        <v>17</v>
      </c>
    </row>
    <row r="12" spans="1:6" x14ac:dyDescent="0.3">
      <c r="A12" s="2" t="s">
        <v>11</v>
      </c>
      <c r="C12" s="4">
        <f>C11/C10</f>
        <v>0.12142857142857143</v>
      </c>
      <c r="E12" s="5" t="s">
        <v>12</v>
      </c>
    </row>
    <row r="13" spans="1:6" x14ac:dyDescent="0.3">
      <c r="A13" s="2" t="s">
        <v>13</v>
      </c>
      <c r="C13" s="3">
        <v>11</v>
      </c>
    </row>
    <row r="15" spans="1:6" ht="18" x14ac:dyDescent="0.35">
      <c r="A15" s="1" t="s">
        <v>14</v>
      </c>
    </row>
    <row r="16" spans="1:6" x14ac:dyDescent="0.3">
      <c r="A16" s="6" t="s">
        <v>15</v>
      </c>
      <c r="B16" s="6" t="s">
        <v>16</v>
      </c>
      <c r="C16" s="6" t="s">
        <v>17</v>
      </c>
      <c r="D16" s="6" t="s">
        <v>18</v>
      </c>
    </row>
    <row r="17" spans="1:4" x14ac:dyDescent="0.3">
      <c r="A17" s="7" t="s">
        <v>19</v>
      </c>
      <c r="B17" s="7" t="s">
        <v>20</v>
      </c>
      <c r="C17" s="7" t="s">
        <v>21</v>
      </c>
      <c r="D17" s="7" t="s">
        <v>22</v>
      </c>
    </row>
    <row r="18" spans="1:4" x14ac:dyDescent="0.3">
      <c r="A18" s="7" t="s">
        <v>23</v>
      </c>
      <c r="B18" s="7" t="s">
        <v>24</v>
      </c>
      <c r="C18" s="7" t="s">
        <v>25</v>
      </c>
      <c r="D18" s="7" t="s">
        <v>26</v>
      </c>
    </row>
    <row r="19" spans="1:4" x14ac:dyDescent="0.3">
      <c r="A19" s="7" t="s">
        <v>27</v>
      </c>
      <c r="B19" s="7" t="s">
        <v>28</v>
      </c>
      <c r="C19" s="7" t="s">
        <v>21</v>
      </c>
      <c r="D19" s="7" t="s">
        <v>29</v>
      </c>
    </row>
    <row r="20" spans="1:4" x14ac:dyDescent="0.3">
      <c r="A20" s="7" t="s">
        <v>127</v>
      </c>
      <c r="B20" s="7" t="s">
        <v>128</v>
      </c>
      <c r="C20" s="7" t="s">
        <v>129</v>
      </c>
      <c r="D20" s="7" t="s">
        <v>29</v>
      </c>
    </row>
    <row r="22" spans="1:4" ht="18" x14ac:dyDescent="0.35">
      <c r="A22" s="1" t="s">
        <v>30</v>
      </c>
    </row>
    <row r="23" spans="1:4" x14ac:dyDescent="0.3">
      <c r="A23" s="6" t="s">
        <v>31</v>
      </c>
      <c r="B23" s="6" t="s">
        <v>32</v>
      </c>
      <c r="C23" s="6" t="s">
        <v>33</v>
      </c>
    </row>
    <row r="24" spans="1:4" x14ac:dyDescent="0.3">
      <c r="A24" s="7" t="s">
        <v>34</v>
      </c>
      <c r="B24" s="8">
        <v>3</v>
      </c>
      <c r="C24" s="9" t="s">
        <v>35</v>
      </c>
    </row>
    <row r="25" spans="1:4" x14ac:dyDescent="0.3">
      <c r="A25" s="7" t="s">
        <v>36</v>
      </c>
      <c r="B25" s="8">
        <v>3</v>
      </c>
      <c r="C25" s="9" t="s">
        <v>35</v>
      </c>
    </row>
    <row r="26" spans="1:4" x14ac:dyDescent="0.3">
      <c r="A26" s="7" t="s">
        <v>37</v>
      </c>
      <c r="B26" s="8">
        <v>3</v>
      </c>
      <c r="C26" s="9" t="s">
        <v>35</v>
      </c>
    </row>
    <row r="27" spans="1:4" x14ac:dyDescent="0.3">
      <c r="A27" s="7" t="s">
        <v>38</v>
      </c>
      <c r="B27" s="8">
        <v>4</v>
      </c>
      <c r="C27" s="9" t="s">
        <v>35</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C15" zoomScale="57" zoomScaleNormal="57" workbookViewId="0">
      <selection activeCell="D21" sqref="D21"/>
    </sheetView>
  </sheetViews>
  <sheetFormatPr defaultRowHeight="14.4" x14ac:dyDescent="0.3"/>
  <cols>
    <col min="1" max="1" width="8" customWidth="1"/>
    <col min="2" max="2" width="22.6640625" customWidth="1"/>
    <col min="3" max="3" width="37" customWidth="1"/>
    <col min="4" max="4" width="45" customWidth="1"/>
    <col min="5" max="5" width="61.109375" customWidth="1"/>
    <col min="6" max="6" width="77.33203125" customWidth="1"/>
    <col min="7" max="7" width="73.21875" customWidth="1"/>
    <col min="8" max="8" width="63.6640625" customWidth="1"/>
  </cols>
  <sheetData>
    <row r="1" spans="1:8" x14ac:dyDescent="0.3">
      <c r="A1" s="18" t="s">
        <v>39</v>
      </c>
      <c r="B1" s="19"/>
      <c r="C1" s="19"/>
      <c r="D1" s="19"/>
      <c r="E1" s="19"/>
      <c r="F1" s="19"/>
      <c r="G1" s="19"/>
      <c r="H1" s="19"/>
    </row>
    <row r="2" spans="1:8" ht="30" customHeight="1" x14ac:dyDescent="0.3">
      <c r="A2" s="20" t="s">
        <v>40</v>
      </c>
      <c r="B2" s="19"/>
      <c r="C2" s="19"/>
      <c r="D2" s="19"/>
      <c r="E2" s="19"/>
      <c r="F2" s="19"/>
      <c r="G2" s="19"/>
      <c r="H2" s="19"/>
    </row>
    <row r="3" spans="1:8" ht="39.9" customHeight="1" x14ac:dyDescent="0.3">
      <c r="A3" s="6" t="s">
        <v>41</v>
      </c>
      <c r="B3" s="6" t="s">
        <v>42</v>
      </c>
      <c r="C3" s="6" t="s">
        <v>43</v>
      </c>
      <c r="D3" s="6" t="s">
        <v>44</v>
      </c>
      <c r="E3" s="6" t="s">
        <v>45</v>
      </c>
      <c r="F3" s="6" t="s">
        <v>46</v>
      </c>
      <c r="G3" s="6" t="s">
        <v>47</v>
      </c>
      <c r="H3" s="6" t="s">
        <v>48</v>
      </c>
    </row>
    <row r="4" spans="1:8" ht="99.9" customHeight="1" x14ac:dyDescent="0.3">
      <c r="A4" s="9">
        <v>1</v>
      </c>
      <c r="B4" s="9" t="s">
        <v>50</v>
      </c>
      <c r="C4" s="9" t="s">
        <v>34</v>
      </c>
      <c r="D4" s="9" t="s">
        <v>130</v>
      </c>
      <c r="E4" s="9" t="s">
        <v>131</v>
      </c>
      <c r="F4" s="9" t="s">
        <v>132</v>
      </c>
      <c r="G4" s="9" t="s">
        <v>133</v>
      </c>
      <c r="H4" s="9" t="s">
        <v>134</v>
      </c>
    </row>
    <row r="5" spans="1:8" ht="99.9" customHeight="1" x14ac:dyDescent="0.3">
      <c r="A5" s="9">
        <v>2</v>
      </c>
      <c r="B5" s="9" t="s">
        <v>52</v>
      </c>
      <c r="C5" s="9" t="s">
        <v>38</v>
      </c>
      <c r="D5" s="9" t="s">
        <v>135</v>
      </c>
      <c r="E5" s="9" t="s">
        <v>136</v>
      </c>
      <c r="F5" s="9" t="s">
        <v>137</v>
      </c>
      <c r="G5" s="9" t="s">
        <v>138</v>
      </c>
      <c r="H5" s="9" t="s">
        <v>139</v>
      </c>
    </row>
    <row r="6" spans="1:8" ht="99.9" customHeight="1" x14ac:dyDescent="0.3">
      <c r="A6" s="9">
        <v>3</v>
      </c>
      <c r="B6" s="9" t="s">
        <v>52</v>
      </c>
      <c r="C6" s="9" t="s">
        <v>38</v>
      </c>
      <c r="D6" s="9" t="s">
        <v>140</v>
      </c>
      <c r="E6" s="9" t="s">
        <v>141</v>
      </c>
      <c r="F6" s="9" t="s">
        <v>142</v>
      </c>
      <c r="G6" s="9" t="s">
        <v>143</v>
      </c>
      <c r="H6" s="9" t="s">
        <v>144</v>
      </c>
    </row>
    <row r="7" spans="1:8" ht="80.099999999999994" customHeight="1" x14ac:dyDescent="0.3">
      <c r="A7" s="24">
        <v>4</v>
      </c>
      <c r="B7" s="24" t="s">
        <v>52</v>
      </c>
      <c r="C7" s="24" t="s">
        <v>38</v>
      </c>
      <c r="D7" s="24" t="s">
        <v>145</v>
      </c>
      <c r="E7" s="24" t="s">
        <v>146</v>
      </c>
      <c r="F7" s="24" t="s">
        <v>147</v>
      </c>
      <c r="G7" s="24" t="s">
        <v>148</v>
      </c>
      <c r="H7" s="24" t="s">
        <v>149</v>
      </c>
    </row>
    <row r="8" spans="1:8" ht="123.6" customHeight="1" x14ac:dyDescent="0.3">
      <c r="A8" s="24">
        <v>5</v>
      </c>
      <c r="B8" s="24" t="s">
        <v>50</v>
      </c>
      <c r="C8" s="24" t="s">
        <v>37</v>
      </c>
      <c r="D8" s="24" t="s">
        <v>150</v>
      </c>
      <c r="E8" s="24" t="s">
        <v>151</v>
      </c>
      <c r="F8" s="24" t="s">
        <v>152</v>
      </c>
      <c r="G8" s="24" t="s">
        <v>153</v>
      </c>
      <c r="H8" s="24" t="s">
        <v>154</v>
      </c>
    </row>
    <row r="9" spans="1:8" ht="80.099999999999994" customHeight="1" x14ac:dyDescent="0.3">
      <c r="A9" s="24">
        <v>6</v>
      </c>
      <c r="B9" s="24" t="s">
        <v>50</v>
      </c>
      <c r="C9" s="24" t="s">
        <v>36</v>
      </c>
      <c r="D9" s="24" t="s">
        <v>155</v>
      </c>
      <c r="E9" s="24" t="s">
        <v>156</v>
      </c>
      <c r="F9" s="24" t="s">
        <v>157</v>
      </c>
      <c r="G9" s="24" t="s">
        <v>158</v>
      </c>
      <c r="H9" s="24" t="s">
        <v>159</v>
      </c>
    </row>
    <row r="10" spans="1:8" ht="80.099999999999994" customHeight="1" x14ac:dyDescent="0.3">
      <c r="A10" s="24">
        <v>7</v>
      </c>
      <c r="B10" s="24" t="s">
        <v>160</v>
      </c>
      <c r="C10" s="24" t="s">
        <v>161</v>
      </c>
      <c r="D10" s="24" t="s">
        <v>162</v>
      </c>
      <c r="E10" s="24" t="s">
        <v>163</v>
      </c>
      <c r="F10" s="24" t="s">
        <v>164</v>
      </c>
      <c r="G10" s="24" t="s">
        <v>165</v>
      </c>
      <c r="H10" s="24" t="s">
        <v>166</v>
      </c>
    </row>
    <row r="11" spans="1:8" ht="80.099999999999994" customHeight="1" x14ac:dyDescent="0.3">
      <c r="A11" s="24">
        <v>8</v>
      </c>
      <c r="B11" s="24" t="s">
        <v>167</v>
      </c>
      <c r="C11" s="24" t="s">
        <v>168</v>
      </c>
      <c r="D11" s="24" t="s">
        <v>169</v>
      </c>
      <c r="E11" s="24" t="s">
        <v>170</v>
      </c>
      <c r="F11" s="24" t="s">
        <v>171</v>
      </c>
      <c r="G11" s="24" t="s">
        <v>172</v>
      </c>
      <c r="H11" s="24" t="s">
        <v>173</v>
      </c>
    </row>
    <row r="12" spans="1:8" ht="80.099999999999994" customHeight="1" x14ac:dyDescent="0.3">
      <c r="A12" s="24">
        <v>9</v>
      </c>
      <c r="B12" s="24" t="s">
        <v>167</v>
      </c>
      <c r="C12" s="24" t="s">
        <v>174</v>
      </c>
      <c r="D12" s="24" t="s">
        <v>175</v>
      </c>
      <c r="E12" s="24" t="s">
        <v>176</v>
      </c>
      <c r="F12" s="24" t="s">
        <v>177</v>
      </c>
      <c r="G12" s="24" t="s">
        <v>178</v>
      </c>
      <c r="H12" s="24" t="s">
        <v>179</v>
      </c>
    </row>
    <row r="13" spans="1:8" ht="181.2" customHeight="1" x14ac:dyDescent="0.3">
      <c r="A13" s="9">
        <v>10</v>
      </c>
      <c r="B13" s="24" t="s">
        <v>52</v>
      </c>
      <c r="C13" s="9" t="s">
        <v>38</v>
      </c>
      <c r="D13" s="9" t="s">
        <v>55</v>
      </c>
      <c r="E13" s="9" t="s">
        <v>56</v>
      </c>
      <c r="F13" s="9" t="s">
        <v>57</v>
      </c>
      <c r="G13" s="9" t="s">
        <v>58</v>
      </c>
      <c r="H13" s="9" t="s">
        <v>59</v>
      </c>
    </row>
    <row r="14" spans="1:8" ht="184.8" customHeight="1" x14ac:dyDescent="0.3">
      <c r="A14" s="9">
        <v>11</v>
      </c>
      <c r="B14" s="9" t="s">
        <v>50</v>
      </c>
      <c r="C14" s="9" t="s">
        <v>38</v>
      </c>
      <c r="D14" s="9" t="s">
        <v>60</v>
      </c>
      <c r="E14" s="9" t="s">
        <v>61</v>
      </c>
      <c r="F14" s="9" t="s">
        <v>62</v>
      </c>
      <c r="G14" s="9" t="s">
        <v>63</v>
      </c>
      <c r="H14" s="25" t="s">
        <v>64</v>
      </c>
    </row>
    <row r="15" spans="1:8" ht="80.099999999999994" customHeight="1" x14ac:dyDescent="0.3">
      <c r="A15" s="9">
        <v>12</v>
      </c>
      <c r="B15" s="9" t="s">
        <v>50</v>
      </c>
      <c r="C15" s="9" t="s">
        <v>168</v>
      </c>
      <c r="D15" s="9" t="s">
        <v>212</v>
      </c>
      <c r="E15" s="9" t="s">
        <v>213</v>
      </c>
      <c r="F15" s="9" t="s">
        <v>214</v>
      </c>
      <c r="G15" s="25" t="s">
        <v>215</v>
      </c>
      <c r="H15" s="9" t="s">
        <v>216</v>
      </c>
    </row>
    <row r="16" spans="1:8" ht="80.099999999999994" customHeight="1" x14ac:dyDescent="0.3">
      <c r="A16" s="9">
        <v>13</v>
      </c>
      <c r="B16" s="9" t="s">
        <v>52</v>
      </c>
      <c r="C16" s="9" t="s">
        <v>217</v>
      </c>
      <c r="D16" s="9" t="s">
        <v>218</v>
      </c>
      <c r="E16" s="9" t="s">
        <v>219</v>
      </c>
      <c r="F16" s="9" t="s">
        <v>220</v>
      </c>
      <c r="G16" s="26" t="s">
        <v>221</v>
      </c>
      <c r="H16" s="9" t="s">
        <v>222</v>
      </c>
    </row>
    <row r="17" spans="1:8" ht="80.099999999999994" customHeight="1" x14ac:dyDescent="0.3">
      <c r="A17" s="9">
        <v>14</v>
      </c>
      <c r="B17" s="9" t="s">
        <v>54</v>
      </c>
      <c r="C17" s="9" t="s">
        <v>223</v>
      </c>
      <c r="D17" s="9" t="s">
        <v>224</v>
      </c>
      <c r="E17" s="9" t="s">
        <v>225</v>
      </c>
      <c r="F17" s="9" t="s">
        <v>226</v>
      </c>
      <c r="G17" s="25" t="s">
        <v>227</v>
      </c>
      <c r="H17" s="25" t="s">
        <v>228</v>
      </c>
    </row>
    <row r="18" spans="1:8" ht="80.099999999999994" customHeight="1" x14ac:dyDescent="0.3">
      <c r="A18" s="27">
        <v>15</v>
      </c>
      <c r="B18" s="27" t="s">
        <v>54</v>
      </c>
      <c r="C18" s="27" t="s">
        <v>229</v>
      </c>
      <c r="D18" s="27" t="s">
        <v>230</v>
      </c>
      <c r="E18" s="27" t="s">
        <v>231</v>
      </c>
      <c r="F18" s="27" t="s">
        <v>232</v>
      </c>
      <c r="G18" s="28" t="s">
        <v>234</v>
      </c>
      <c r="H18" s="28" t="s">
        <v>233</v>
      </c>
    </row>
    <row r="19" spans="1:8" ht="80.099999999999994" customHeight="1" x14ac:dyDescent="0.3">
      <c r="A19" s="27">
        <v>16</v>
      </c>
      <c r="B19" s="27" t="s">
        <v>54</v>
      </c>
      <c r="C19" s="27" t="s">
        <v>235</v>
      </c>
      <c r="D19" s="27" t="s">
        <v>236</v>
      </c>
      <c r="E19" s="27" t="s">
        <v>237</v>
      </c>
      <c r="F19" s="27" t="s">
        <v>238</v>
      </c>
      <c r="G19" s="28" t="s">
        <v>240</v>
      </c>
      <c r="H19" s="28" t="s">
        <v>239</v>
      </c>
    </row>
    <row r="20" spans="1:8" ht="80.099999999999994" customHeight="1" x14ac:dyDescent="0.3">
      <c r="A20" s="29">
        <v>17</v>
      </c>
      <c r="B20" s="29" t="s">
        <v>50</v>
      </c>
      <c r="C20" s="29" t="s">
        <v>241</v>
      </c>
      <c r="D20" s="29" t="s">
        <v>242</v>
      </c>
      <c r="E20" s="29" t="s">
        <v>243</v>
      </c>
      <c r="F20" s="29" t="s">
        <v>244</v>
      </c>
      <c r="G20" s="29" t="s">
        <v>245</v>
      </c>
      <c r="H20" s="29" t="s">
        <v>246</v>
      </c>
    </row>
    <row r="21" spans="1:8" ht="80.099999999999994" customHeight="1" x14ac:dyDescent="0.3">
      <c r="A21" s="7"/>
      <c r="B21" s="7"/>
      <c r="C21" s="7"/>
      <c r="D21" s="7"/>
      <c r="E21" s="7"/>
      <c r="F21" s="7"/>
      <c r="G21" s="7"/>
      <c r="H21" s="7"/>
    </row>
    <row r="22" spans="1:8" ht="80.099999999999994" customHeight="1" x14ac:dyDescent="0.3">
      <c r="A22" s="7"/>
      <c r="B22" s="7"/>
      <c r="C22" s="7"/>
      <c r="D22" s="7"/>
      <c r="E22" s="7"/>
      <c r="F22" s="7"/>
      <c r="G22" s="7"/>
      <c r="H22" s="7"/>
    </row>
    <row r="23" spans="1:8" ht="80.099999999999994" customHeight="1" x14ac:dyDescent="0.3">
      <c r="A23" s="7"/>
      <c r="B23" s="7"/>
      <c r="C23" s="7"/>
      <c r="D23" s="7"/>
      <c r="E23" s="7"/>
      <c r="F23" s="7"/>
      <c r="G23" s="7"/>
      <c r="H23" s="7"/>
    </row>
    <row r="24" spans="1:8" ht="80.099999999999994" customHeight="1" x14ac:dyDescent="0.3">
      <c r="A24" s="7"/>
      <c r="B24" s="7"/>
      <c r="C24" s="7"/>
      <c r="D24" s="7"/>
      <c r="E24" s="7"/>
      <c r="F24" s="7"/>
      <c r="G24" s="7"/>
      <c r="H24" s="7"/>
    </row>
    <row r="25" spans="1:8" ht="80.099999999999994" customHeight="1" x14ac:dyDescent="0.3">
      <c r="A25" s="7"/>
      <c r="B25" s="7"/>
      <c r="C25" s="7"/>
      <c r="D25" s="7"/>
      <c r="E25" s="7"/>
      <c r="F25" s="7"/>
      <c r="G25" s="7"/>
      <c r="H25" s="7"/>
    </row>
    <row r="26" spans="1:8" ht="80.099999999999994" customHeight="1" x14ac:dyDescent="0.3">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zoomScale="70" zoomScaleNormal="70" workbookViewId="0">
      <selection activeCell="D8" sqref="D8"/>
    </sheetView>
  </sheetViews>
  <sheetFormatPr defaultRowHeight="14.4" x14ac:dyDescent="0.3"/>
  <cols>
    <col min="1" max="1" width="12" customWidth="1"/>
    <col min="2" max="2" width="29.6640625" customWidth="1"/>
    <col min="3" max="3" width="64.109375" customWidth="1"/>
    <col min="4" max="4" width="61.21875" customWidth="1"/>
    <col min="5" max="5" width="45.21875" customWidth="1"/>
    <col min="6" max="6" width="66.88671875" customWidth="1"/>
  </cols>
  <sheetData>
    <row r="1" spans="1:6" x14ac:dyDescent="0.3">
      <c r="A1" s="22" t="s">
        <v>65</v>
      </c>
      <c r="B1" s="19"/>
      <c r="C1" s="19"/>
      <c r="D1" s="19"/>
      <c r="E1" s="19"/>
      <c r="F1" s="19"/>
    </row>
    <row r="2" spans="1:6" x14ac:dyDescent="0.3">
      <c r="A2" s="21" t="s">
        <v>66</v>
      </c>
      <c r="B2" s="19"/>
      <c r="C2" s="19"/>
      <c r="D2" s="19"/>
      <c r="E2" s="19"/>
      <c r="F2" s="19"/>
    </row>
    <row r="3" spans="1:6" ht="39.9" customHeight="1" x14ac:dyDescent="0.3">
      <c r="A3" s="6" t="s">
        <v>67</v>
      </c>
      <c r="B3" s="6" t="s">
        <v>68</v>
      </c>
      <c r="C3" s="6" t="s">
        <v>69</v>
      </c>
      <c r="D3" s="6" t="s">
        <v>70</v>
      </c>
      <c r="E3" s="6" t="s">
        <v>71</v>
      </c>
      <c r="F3" s="6" t="s">
        <v>72</v>
      </c>
    </row>
    <row r="4" spans="1:6" ht="60" customHeight="1" x14ac:dyDescent="0.3">
      <c r="A4" s="30">
        <v>1</v>
      </c>
      <c r="B4" s="30" t="s">
        <v>89</v>
      </c>
      <c r="C4" s="30" t="s">
        <v>211</v>
      </c>
      <c r="D4" s="30" t="s">
        <v>210</v>
      </c>
      <c r="E4" s="30" t="s">
        <v>209</v>
      </c>
      <c r="F4" s="30" t="s">
        <v>208</v>
      </c>
    </row>
    <row r="5" spans="1:6" x14ac:dyDescent="0.3">
      <c r="A5" s="30">
        <v>2</v>
      </c>
      <c r="B5" s="30" t="s">
        <v>75</v>
      </c>
      <c r="C5" s="30" t="s">
        <v>207</v>
      </c>
      <c r="D5" s="30" t="s">
        <v>206</v>
      </c>
      <c r="E5" s="30" t="s">
        <v>205</v>
      </c>
      <c r="F5" s="30" t="s">
        <v>204</v>
      </c>
    </row>
    <row r="6" spans="1:6" ht="60" customHeight="1" x14ac:dyDescent="0.3">
      <c r="A6" s="30">
        <v>3</v>
      </c>
      <c r="B6" s="30" t="s">
        <v>74</v>
      </c>
      <c r="C6" s="30" t="s">
        <v>203</v>
      </c>
      <c r="D6" s="30" t="s">
        <v>202</v>
      </c>
      <c r="E6" s="30" t="s">
        <v>201</v>
      </c>
      <c r="F6" s="30" t="s">
        <v>200</v>
      </c>
    </row>
    <row r="7" spans="1:6" ht="60" customHeight="1" x14ac:dyDescent="0.3">
      <c r="A7" s="30">
        <v>4</v>
      </c>
      <c r="B7" s="30" t="s">
        <v>86</v>
      </c>
      <c r="C7" s="30" t="s">
        <v>199</v>
      </c>
      <c r="D7" s="30" t="s">
        <v>198</v>
      </c>
      <c r="E7" s="30" t="s">
        <v>197</v>
      </c>
      <c r="F7" s="30" t="s">
        <v>196</v>
      </c>
    </row>
    <row r="8" spans="1:6" ht="60" customHeight="1" x14ac:dyDescent="0.3">
      <c r="A8" s="30">
        <v>5</v>
      </c>
      <c r="B8" s="30" t="s">
        <v>74</v>
      </c>
      <c r="C8" s="30" t="s">
        <v>195</v>
      </c>
      <c r="D8" s="30" t="s">
        <v>194</v>
      </c>
      <c r="E8" s="30" t="s">
        <v>193</v>
      </c>
      <c r="F8" s="30" t="s">
        <v>192</v>
      </c>
    </row>
    <row r="9" spans="1:6" ht="60" customHeight="1" x14ac:dyDescent="0.3">
      <c r="A9" s="30">
        <v>6</v>
      </c>
      <c r="B9" s="30" t="s">
        <v>73</v>
      </c>
      <c r="C9" s="30" t="s">
        <v>191</v>
      </c>
      <c r="D9" s="30" t="s">
        <v>190</v>
      </c>
      <c r="E9" s="30" t="s">
        <v>189</v>
      </c>
      <c r="F9" s="30" t="s">
        <v>188</v>
      </c>
    </row>
    <row r="10" spans="1:6" ht="60" customHeight="1" x14ac:dyDescent="0.3">
      <c r="A10" s="30">
        <v>7</v>
      </c>
      <c r="B10" s="30" t="s">
        <v>73</v>
      </c>
      <c r="C10" s="30" t="s">
        <v>187</v>
      </c>
      <c r="D10" s="30" t="s">
        <v>186</v>
      </c>
      <c r="E10" s="30" t="s">
        <v>185</v>
      </c>
      <c r="F10" s="30" t="s">
        <v>184</v>
      </c>
    </row>
    <row r="11" spans="1:6" ht="60" customHeight="1" x14ac:dyDescent="0.3">
      <c r="A11" s="30">
        <v>8</v>
      </c>
      <c r="B11" s="30" t="s">
        <v>89</v>
      </c>
      <c r="C11" s="30" t="s">
        <v>183</v>
      </c>
      <c r="D11" s="30" t="s">
        <v>182</v>
      </c>
      <c r="E11" s="30" t="s">
        <v>181</v>
      </c>
      <c r="F11" s="30" t="s">
        <v>180</v>
      </c>
    </row>
    <row r="12" spans="1:6" ht="60" customHeight="1" x14ac:dyDescent="0.3">
      <c r="A12" s="29">
        <v>9</v>
      </c>
      <c r="B12" s="29" t="s">
        <v>247</v>
      </c>
      <c r="C12" s="29" t="s">
        <v>248</v>
      </c>
      <c r="D12" s="29" t="s">
        <v>249</v>
      </c>
      <c r="E12" s="29" t="s">
        <v>250</v>
      </c>
      <c r="F12" s="29" t="s">
        <v>251</v>
      </c>
    </row>
    <row r="13" spans="1:6" ht="60" customHeight="1" x14ac:dyDescent="0.3">
      <c r="A13" s="29">
        <v>10</v>
      </c>
      <c r="B13" s="29" t="s">
        <v>252</v>
      </c>
      <c r="C13" s="29" t="s">
        <v>254</v>
      </c>
      <c r="D13" s="29" t="s">
        <v>256</v>
      </c>
      <c r="E13" s="29" t="s">
        <v>258</v>
      </c>
      <c r="F13" s="29" t="s">
        <v>260</v>
      </c>
    </row>
    <row r="14" spans="1:6" ht="60" customHeight="1" x14ac:dyDescent="0.3">
      <c r="A14" s="29">
        <v>11</v>
      </c>
      <c r="B14" s="29" t="s">
        <v>253</v>
      </c>
      <c r="C14" s="29" t="s">
        <v>255</v>
      </c>
      <c r="D14" s="29" t="s">
        <v>257</v>
      </c>
      <c r="E14" s="29" t="s">
        <v>259</v>
      </c>
      <c r="F14" s="29" t="s">
        <v>261</v>
      </c>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76</v>
      </c>
    </row>
    <row r="31" spans="1:6" x14ac:dyDescent="0.3">
      <c r="A31" s="10" t="s">
        <v>77</v>
      </c>
      <c r="B31" s="10" t="s">
        <v>78</v>
      </c>
      <c r="C31" s="10" t="s">
        <v>79</v>
      </c>
    </row>
    <row r="32" spans="1:6" ht="28.8" x14ac:dyDescent="0.3">
      <c r="A32" s="7" t="s">
        <v>73</v>
      </c>
      <c r="B32" s="7" t="s">
        <v>80</v>
      </c>
      <c r="C32" s="7" t="s">
        <v>81</v>
      </c>
    </row>
    <row r="33" spans="1:3" ht="28.8" x14ac:dyDescent="0.3">
      <c r="A33" s="7" t="s">
        <v>75</v>
      </c>
      <c r="B33" s="7" t="s">
        <v>82</v>
      </c>
      <c r="C33" s="7" t="s">
        <v>83</v>
      </c>
    </row>
    <row r="34" spans="1:3" ht="28.8" x14ac:dyDescent="0.3">
      <c r="A34" s="7" t="s">
        <v>74</v>
      </c>
      <c r="B34" s="7" t="s">
        <v>84</v>
      </c>
      <c r="C34" s="7" t="s">
        <v>85</v>
      </c>
    </row>
    <row r="35" spans="1:3" ht="28.8" x14ac:dyDescent="0.3">
      <c r="A35" s="7" t="s">
        <v>86</v>
      </c>
      <c r="B35" s="7" t="s">
        <v>87</v>
      </c>
      <c r="C35" s="7" t="s">
        <v>88</v>
      </c>
    </row>
    <row r="36" spans="1:3" ht="43.2" x14ac:dyDescent="0.3">
      <c r="A36" s="7" t="s">
        <v>89</v>
      </c>
      <c r="B36" s="7" t="s">
        <v>90</v>
      </c>
      <c r="C36" s="7" t="s">
        <v>91</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sqref="A1:D1"/>
    </sheetView>
  </sheetViews>
  <sheetFormatPr defaultRowHeight="14.4" x14ac:dyDescent="0.3"/>
  <cols>
    <col min="1" max="1" width="8" customWidth="1"/>
    <col min="2" max="2" width="60" customWidth="1"/>
    <col min="3" max="3" width="10" customWidth="1"/>
    <col min="4" max="4" width="30" customWidth="1"/>
  </cols>
  <sheetData>
    <row r="1" spans="1:4" x14ac:dyDescent="0.3">
      <c r="A1" s="18" t="s">
        <v>92</v>
      </c>
      <c r="B1" s="19"/>
      <c r="C1" s="19"/>
      <c r="D1" s="19"/>
    </row>
    <row r="2" spans="1:4" x14ac:dyDescent="0.3">
      <c r="A2" s="23" t="s">
        <v>93</v>
      </c>
      <c r="B2" s="19"/>
      <c r="C2" s="19"/>
      <c r="D2" s="19"/>
    </row>
    <row r="4" spans="1:4" ht="18" x14ac:dyDescent="0.35">
      <c r="A4" s="1" t="s">
        <v>94</v>
      </c>
    </row>
    <row r="5" spans="1:4" x14ac:dyDescent="0.3">
      <c r="A5" s="6" t="s">
        <v>95</v>
      </c>
      <c r="B5" s="11" t="s">
        <v>96</v>
      </c>
      <c r="C5" s="6" t="s">
        <v>97</v>
      </c>
      <c r="D5" s="11" t="s">
        <v>98</v>
      </c>
    </row>
    <row r="6" spans="1:4" x14ac:dyDescent="0.3">
      <c r="A6" s="12" t="s">
        <v>99</v>
      </c>
      <c r="B6" s="13" t="s">
        <v>100</v>
      </c>
      <c r="C6" s="12" t="s">
        <v>101</v>
      </c>
      <c r="D6" s="13"/>
    </row>
    <row r="7" spans="1:4" x14ac:dyDescent="0.3">
      <c r="A7" s="12" t="s">
        <v>102</v>
      </c>
      <c r="B7" s="13" t="s">
        <v>103</v>
      </c>
      <c r="C7" s="12" t="s">
        <v>101</v>
      </c>
      <c r="D7" s="13"/>
    </row>
    <row r="8" spans="1:4" x14ac:dyDescent="0.3">
      <c r="A8" s="12" t="s">
        <v>104</v>
      </c>
      <c r="B8" s="13" t="s">
        <v>105</v>
      </c>
      <c r="C8" s="12" t="s">
        <v>101</v>
      </c>
      <c r="D8" s="13"/>
    </row>
    <row r="9" spans="1:4" x14ac:dyDescent="0.3">
      <c r="A9" s="12" t="s">
        <v>106</v>
      </c>
      <c r="B9" s="13" t="s">
        <v>107</v>
      </c>
      <c r="C9" s="12" t="s">
        <v>101</v>
      </c>
      <c r="D9" s="13"/>
    </row>
    <row r="10" spans="1:4" x14ac:dyDescent="0.3">
      <c r="A10" s="12" t="s">
        <v>108</v>
      </c>
      <c r="B10" s="13" t="s">
        <v>109</v>
      </c>
      <c r="C10" s="12" t="s">
        <v>101</v>
      </c>
      <c r="D10" s="13"/>
    </row>
    <row r="12" spans="1:4" ht="18" x14ac:dyDescent="0.35">
      <c r="A12" s="1" t="s">
        <v>110</v>
      </c>
    </row>
    <row r="13" spans="1:4" x14ac:dyDescent="0.3">
      <c r="A13" s="6" t="s">
        <v>95</v>
      </c>
      <c r="B13" s="11" t="s">
        <v>96</v>
      </c>
      <c r="C13" s="6" t="s">
        <v>97</v>
      </c>
      <c r="D13" s="11" t="s">
        <v>111</v>
      </c>
    </row>
    <row r="14" spans="1:4" x14ac:dyDescent="0.3">
      <c r="A14" s="12" t="s">
        <v>99</v>
      </c>
      <c r="B14" s="13" t="s">
        <v>112</v>
      </c>
      <c r="C14" s="12" t="s">
        <v>101</v>
      </c>
      <c r="D14" s="13"/>
    </row>
    <row r="15" spans="1:4" x14ac:dyDescent="0.3">
      <c r="A15" s="12" t="s">
        <v>102</v>
      </c>
      <c r="B15" s="13" t="s">
        <v>113</v>
      </c>
      <c r="C15" s="12" t="s">
        <v>101</v>
      </c>
      <c r="D15" s="13"/>
    </row>
    <row r="16" spans="1:4" x14ac:dyDescent="0.3">
      <c r="A16" s="12" t="s">
        <v>104</v>
      </c>
      <c r="B16" s="13" t="s">
        <v>114</v>
      </c>
      <c r="C16" s="12" t="s">
        <v>101</v>
      </c>
      <c r="D16" s="13"/>
    </row>
    <row r="17" spans="1:4" x14ac:dyDescent="0.3">
      <c r="A17" s="12" t="s">
        <v>106</v>
      </c>
      <c r="B17" s="13" t="s">
        <v>115</v>
      </c>
      <c r="C17" s="12" t="s">
        <v>101</v>
      </c>
      <c r="D17" s="13"/>
    </row>
    <row r="18" spans="1:4" x14ac:dyDescent="0.3">
      <c r="A18" s="12" t="s">
        <v>108</v>
      </c>
      <c r="B18" s="13" t="s">
        <v>116</v>
      </c>
      <c r="C18" s="12" t="s">
        <v>101</v>
      </c>
      <c r="D18" s="13"/>
    </row>
    <row r="20" spans="1:4" ht="15.6" x14ac:dyDescent="0.3">
      <c r="A20" s="14" t="s">
        <v>117</v>
      </c>
    </row>
    <row r="21" spans="1:4" x14ac:dyDescent="0.3">
      <c r="A21" s="15" t="s">
        <v>118</v>
      </c>
    </row>
    <row r="22" spans="1:4" x14ac:dyDescent="0.3">
      <c r="A22" s="15" t="s">
        <v>119</v>
      </c>
    </row>
    <row r="25" spans="1:4" ht="18" x14ac:dyDescent="0.35">
      <c r="A25" s="1" t="s">
        <v>120</v>
      </c>
    </row>
    <row r="26" spans="1:4" x14ac:dyDescent="0.3">
      <c r="A26" s="16" t="s">
        <v>121</v>
      </c>
    </row>
    <row r="27" spans="1:4" ht="43.2" x14ac:dyDescent="0.3">
      <c r="A27" s="17" t="s">
        <v>41</v>
      </c>
      <c r="B27" s="10" t="s">
        <v>122</v>
      </c>
      <c r="C27" s="10" t="s">
        <v>123</v>
      </c>
      <c r="D27" s="10" t="s">
        <v>124</v>
      </c>
    </row>
    <row r="28" spans="1:4" x14ac:dyDescent="0.3">
      <c r="A28" s="9" t="s">
        <v>49</v>
      </c>
      <c r="B28" s="7"/>
      <c r="C28" s="7"/>
      <c r="D28" s="7"/>
    </row>
    <row r="29" spans="1:4" x14ac:dyDescent="0.3">
      <c r="A29" s="9" t="s">
        <v>51</v>
      </c>
      <c r="B29" s="7"/>
      <c r="C29" s="7"/>
      <c r="D29" s="7"/>
    </row>
    <row r="30" spans="1:4" x14ac:dyDescent="0.3">
      <c r="A30" s="9" t="s">
        <v>53</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bao phan</cp:lastModifiedBy>
  <cp:revision/>
  <dcterms:created xsi:type="dcterms:W3CDTF">2026-05-07T22:28:42Z</dcterms:created>
  <dcterms:modified xsi:type="dcterms:W3CDTF">2026-07-05T13:31:15Z</dcterms:modified>
  <cp:category/>
  <cp:contentStatus/>
</cp:coreProperties>
</file>